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\OneDrive\Documentos\"/>
    </mc:Choice>
  </mc:AlternateContent>
  <xr:revisionPtr revIDLastSave="0" documentId="8_{C1B7FC6F-96EB-4DDF-AE17-4EE679097405}" xr6:coauthVersionLast="47" xr6:coauthVersionMax="47" xr10:uidLastSave="{00000000-0000-0000-0000-000000000000}"/>
  <bookViews>
    <workbookView xWindow="0" yWindow="0" windowWidth="11955" windowHeight="10590" activeTab="3" xr2:uid="{3E146B48-EDD1-43A1-83F3-BC16E0E56FFD}"/>
  </bookViews>
  <sheets>
    <sheet name="Hoja1" sheetId="1" r:id="rId1"/>
    <sheet name="Hoja2" sheetId="2" r:id="rId2"/>
    <sheet name="Hoja3" sheetId="3" r:id="rId3"/>
    <sheet name="Hoja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4" l="1"/>
  <c r="D36" i="4"/>
  <c r="D18" i="4"/>
  <c r="D20" i="4"/>
  <c r="E29" i="4"/>
  <c r="D32" i="4"/>
  <c r="E31" i="4" s="1"/>
  <c r="D27" i="4"/>
  <c r="E26" i="4" s="1"/>
  <c r="D28" i="4"/>
  <c r="E27" i="4" s="1"/>
  <c r="F26" i="4" s="1"/>
  <c r="D29" i="4"/>
  <c r="E28" i="4" s="1"/>
  <c r="D30" i="4"/>
  <c r="D31" i="4"/>
  <c r="E30" i="4" s="1"/>
  <c r="F29" i="4" s="1"/>
  <c r="D26" i="4"/>
  <c r="E2" i="4"/>
  <c r="D11" i="4"/>
  <c r="C27" i="4"/>
  <c r="C28" i="4"/>
  <c r="C29" i="4"/>
  <c r="C30" i="4"/>
  <c r="C31" i="4"/>
  <c r="C32" i="4"/>
  <c r="C26" i="4"/>
  <c r="C11" i="4"/>
  <c r="F2" i="4"/>
  <c r="E3" i="4"/>
  <c r="F3" i="4"/>
  <c r="E4" i="4"/>
  <c r="F4" i="4"/>
  <c r="E5" i="4"/>
  <c r="F5" i="4"/>
  <c r="E6" i="4"/>
  <c r="F6" i="4"/>
  <c r="E7" i="4"/>
  <c r="F7" i="4"/>
  <c r="E8" i="4"/>
  <c r="F8" i="4"/>
  <c r="F30" i="4" l="1"/>
  <c r="G29" i="4" s="1"/>
  <c r="F27" i="4"/>
  <c r="G26" i="4" s="1"/>
  <c r="F28" i="4"/>
  <c r="G28" i="4" s="1"/>
  <c r="H12" i="3"/>
  <c r="C13" i="2"/>
  <c r="F5" i="2"/>
  <c r="E5" i="2"/>
  <c r="E6" i="2"/>
  <c r="D7" i="2"/>
  <c r="D6" i="2"/>
  <c r="D5" i="2"/>
  <c r="D12" i="4"/>
  <c r="E11" i="4" s="1"/>
  <c r="D13" i="4"/>
  <c r="E12" i="4" s="1"/>
  <c r="F11" i="4" s="1"/>
  <c r="D14" i="4"/>
  <c r="D15" i="4"/>
  <c r="D16" i="4"/>
  <c r="D17" i="4"/>
  <c r="C17" i="4"/>
  <c r="C12" i="4"/>
  <c r="C13" i="4"/>
  <c r="C14" i="4"/>
  <c r="C15" i="4"/>
  <c r="C16" i="4"/>
  <c r="J5" i="3"/>
  <c r="I6" i="3"/>
  <c r="I5" i="3"/>
  <c r="H28" i="4" l="1"/>
  <c r="G27" i="4"/>
  <c r="H26" i="4" s="1"/>
  <c r="E16" i="4"/>
  <c r="E14" i="4"/>
  <c r="F15" i="4"/>
  <c r="E13" i="4"/>
  <c r="E15" i="4"/>
  <c r="F13" i="4" l="1"/>
  <c r="H27" i="4"/>
  <c r="I26" i="4" s="1"/>
  <c r="F14" i="4"/>
  <c r="G14" i="4" s="1"/>
  <c r="F12" i="4"/>
  <c r="G12" i="4" l="1"/>
  <c r="G11" i="4"/>
  <c r="I27" i="4"/>
  <c r="J26" i="4" s="1"/>
  <c r="D37" i="4" s="1"/>
  <c r="G13" i="4"/>
  <c r="H13" i="4" s="1"/>
  <c r="H11" i="4" l="1"/>
  <c r="H12" i="4"/>
  <c r="I12" i="4" s="1"/>
  <c r="I11" i="4" l="1"/>
  <c r="J11" i="4" l="1"/>
  <c r="D21" i="4" s="1"/>
</calcChain>
</file>

<file path=xl/sharedStrings.xml><?xml version="1.0" encoding="utf-8"?>
<sst xmlns="http://schemas.openxmlformats.org/spreadsheetml/2006/main" count="86" uniqueCount="60">
  <si>
    <t>x</t>
  </si>
  <si>
    <t>y</t>
  </si>
  <si>
    <t>x0</t>
  </si>
  <si>
    <t>x1</t>
  </si>
  <si>
    <t>x2</t>
  </si>
  <si>
    <t>y0</t>
  </si>
  <si>
    <t>y1</t>
  </si>
  <si>
    <t>y2</t>
  </si>
  <si>
    <t>p(x)=  a0 + a1 (x-x0) + a2(x-x0) (x-x1)</t>
  </si>
  <si>
    <t>#</t>
  </si>
  <si>
    <t>polinomio de newton</t>
  </si>
  <si>
    <t>p(x0) = f(x0)=y0</t>
  </si>
  <si>
    <t>si x=x0</t>
  </si>
  <si>
    <t>x0 -x0 =0</t>
  </si>
  <si>
    <t>p(x0)= a0  + a1(x0-x0) + a2(x0-x0) (x0-x1)</t>
  </si>
  <si>
    <t>p(x0) = a0 =f(x0) = y0</t>
  </si>
  <si>
    <t>x= x1</t>
  </si>
  <si>
    <t>si</t>
  </si>
  <si>
    <t>p(x1)=  a0 + a1 (x1-x0) + a2(x1-x0) (x1-x1) = f(x1)= y1</t>
  </si>
  <si>
    <t>p(x1)=  y0 + a1 (x1-x0)  = f(x1)= y1</t>
  </si>
  <si>
    <t>y0 + a1 (x1-x0) = y1</t>
  </si>
  <si>
    <t>a1=  y1 - y0  /  x1 - x0</t>
  </si>
  <si>
    <t>a1 =  f(x1)  - f(x0)  / x1-x0</t>
  </si>
  <si>
    <t>diferencia de 1er nivel</t>
  </si>
  <si>
    <t>dif de orden cero</t>
  </si>
  <si>
    <t>dif de 1er nivel</t>
  </si>
  <si>
    <t>dif de 2do. nivel</t>
  </si>
  <si>
    <t>f [x0,x1]= (y1-y0)/(x1-x0)</t>
  </si>
  <si>
    <t>f [x1,x2]=  (y2-y1)/(x2-x1)</t>
  </si>
  <si>
    <t xml:space="preserve">f[x0,x1,x2]= f[x1,x2] - f[x0,x1] / (x2-x0)  </t>
  </si>
  <si>
    <t>p(x)= f[x]  + f[x0,x1] (x-x0) + f[x0,x1,x2] (x-x0) (x-x1)</t>
  </si>
  <si>
    <t>1er nivel</t>
  </si>
  <si>
    <t>n=3</t>
  </si>
  <si>
    <t>2do. Nivel</t>
  </si>
  <si>
    <t>3er.nivel</t>
  </si>
  <si>
    <t>p(x)=</t>
  </si>
  <si>
    <t>f[x0]  + f[x0,x1] (x-x0) + f[x0,x1,x2] (x-x0) (x-x1) + f[x0,x1,x2,x3](x-x0)(x-x1)(x-x2)</t>
  </si>
  <si>
    <t>?</t>
  </si>
  <si>
    <t>P(x=6)=</t>
  </si>
  <si>
    <t>2do.nivel</t>
  </si>
  <si>
    <t>p(2)=</t>
  </si>
  <si>
    <t xml:space="preserve">1 er nivel </t>
  </si>
  <si>
    <t>2do nivel</t>
  </si>
  <si>
    <t xml:space="preserve">3er nivel </t>
  </si>
  <si>
    <t xml:space="preserve">4to nivel </t>
  </si>
  <si>
    <t xml:space="preserve">5to nivel </t>
  </si>
  <si>
    <t xml:space="preserve">6to nivel </t>
  </si>
  <si>
    <t>p(3640)=</t>
  </si>
  <si>
    <t>T(°C)</t>
  </si>
  <si>
    <t>H(m)</t>
  </si>
  <si>
    <t>T(°F)</t>
  </si>
  <si>
    <t>H(ft)</t>
  </si>
  <si>
    <t xml:space="preserve">E = </t>
  </si>
  <si>
    <t xml:space="preserve">2do novel </t>
  </si>
  <si>
    <t>p(4150)=</t>
  </si>
  <si>
    <t>E =</t>
  </si>
  <si>
    <t xml:space="preserve">La ebullicion del agua a la altura de la ciudad de El Alto </t>
  </si>
  <si>
    <t>La ebullicion del agua a la altura de la ciudad de La Paz</t>
  </si>
  <si>
    <t xml:space="preserve">LA PAZ </t>
  </si>
  <si>
    <t xml:space="preserve">EL ALTO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</si>
</sst>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0"/>
    <numFmt numFmtId="168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quotePrefix="1"/>
    <xf numFmtId="0" fontId="0" fillId="3" borderId="1" xfId="0" applyFill="1" applyBorder="1"/>
    <xf numFmtId="0" fontId="0" fillId="3" borderId="0" xfId="0" quotePrefix="1" applyFill="1"/>
    <xf numFmtId="0" fontId="0" fillId="3" borderId="2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5" borderId="1" xfId="0" applyFill="1" applyBorder="1"/>
    <xf numFmtId="2" fontId="0" fillId="5" borderId="1" xfId="0" applyNumberFormat="1" applyFill="1" applyBorder="1"/>
    <xf numFmtId="165" fontId="0" fillId="5" borderId="1" xfId="0" applyNumberFormat="1" applyFill="1" applyBorder="1"/>
    <xf numFmtId="3" fontId="0" fillId="5" borderId="1" xfId="0" applyNumberFormat="1" applyFill="1" applyBorder="1"/>
    <xf numFmtId="0" fontId="0" fillId="6" borderId="1" xfId="0" applyFill="1" applyBorder="1"/>
    <xf numFmtId="0" fontId="0" fillId="0" borderId="1" xfId="0" applyFill="1" applyBorder="1"/>
    <xf numFmtId="0" fontId="0" fillId="6" borderId="0" xfId="0" applyFill="1"/>
    <xf numFmtId="3" fontId="0" fillId="7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  <xf numFmtId="3" fontId="0" fillId="7" borderId="3" xfId="0" applyNumberFormat="1" applyFill="1" applyBorder="1"/>
    <xf numFmtId="164" fontId="0" fillId="7" borderId="4" xfId="0" applyNumberFormat="1" applyFill="1" applyBorder="1"/>
    <xf numFmtId="0" fontId="0" fillId="6" borderId="5" xfId="0" applyFill="1" applyBorder="1"/>
    <xf numFmtId="168" fontId="0" fillId="0" borderId="1" xfId="0" applyNumberFormat="1" applyFill="1" applyBorder="1"/>
    <xf numFmtId="2" fontId="0" fillId="0" borderId="1" xfId="0" applyNumberFormat="1" applyFill="1" applyBorder="1"/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La</a:t>
            </a:r>
            <a:r>
              <a:rPr lang="en-US" baseline="0"/>
              <a:t> Paz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Hoja4!$D$10</c:f>
              <c:strCache>
                <c:ptCount val="1"/>
                <c:pt idx="0">
                  <c:v>T(°C)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Hoja4!$C$11:$C$18</c:f>
              <c:numCache>
                <c:formatCode>0.00</c:formatCode>
                <c:ptCount val="8"/>
                <c:pt idx="0">
                  <c:v>-304.79999024640034</c:v>
                </c:pt>
                <c:pt idx="1">
                  <c:v>0</c:v>
                </c:pt>
                <c:pt idx="2">
                  <c:v>914.39997073920097</c:v>
                </c:pt>
                <c:pt idx="3">
                  <c:v>2438.3999219712027</c:v>
                </c:pt>
                <c:pt idx="4">
                  <c:v>4571.9998536960047</c:v>
                </c:pt>
                <c:pt idx="5">
                  <c:v>6705.5997854208072</c:v>
                </c:pt>
                <c:pt idx="6">
                  <c:v>8534.399726899208</c:v>
                </c:pt>
                <c:pt idx="7" formatCode="#,##0">
                  <c:v>3640</c:v>
                </c:pt>
              </c:numCache>
            </c:numRef>
          </c:xVal>
          <c:yVal>
            <c:numRef>
              <c:f>Hoja4!$D$11:$D$18</c:f>
              <c:numCache>
                <c:formatCode>0.00</c:formatCode>
                <c:ptCount val="8"/>
                <c:pt idx="0">
                  <c:v>101.05555555555556</c:v>
                </c:pt>
                <c:pt idx="1">
                  <c:v>100</c:v>
                </c:pt>
                <c:pt idx="2">
                  <c:v>96.777777777777771</c:v>
                </c:pt>
                <c:pt idx="3">
                  <c:v>91.222222222222214</c:v>
                </c:pt>
                <c:pt idx="4">
                  <c:v>84.666666666666671</c:v>
                </c:pt>
                <c:pt idx="5">
                  <c:v>78.111111111111114</c:v>
                </c:pt>
                <c:pt idx="6">
                  <c:v>72.833333333333329</c:v>
                </c:pt>
                <c:pt idx="7">
                  <c:v>87.310097561099553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C6-41C7-A8E0-B0AA97C0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63072"/>
        <c:axId val="1982060192"/>
      </c:scatterChart>
      <c:valAx>
        <c:axId val="198206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82060192"/>
        <c:crosses val="autoZero"/>
        <c:crossBetween val="midCat"/>
      </c:valAx>
      <c:valAx>
        <c:axId val="19820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8206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El</a:t>
            </a:r>
            <a:r>
              <a:rPr lang="en-US" baseline="0"/>
              <a:t> Alto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Hoja4!$D$25</c:f>
              <c:strCache>
                <c:ptCount val="1"/>
                <c:pt idx="0">
                  <c:v>T(°C)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Hoja4!$C$26:$C$33</c:f>
              <c:numCache>
                <c:formatCode>General</c:formatCode>
                <c:ptCount val="8"/>
                <c:pt idx="0">
                  <c:v>-304.79999024640034</c:v>
                </c:pt>
                <c:pt idx="1">
                  <c:v>0</c:v>
                </c:pt>
                <c:pt idx="2">
                  <c:v>914.39997073920097</c:v>
                </c:pt>
                <c:pt idx="3">
                  <c:v>2438.3999219712027</c:v>
                </c:pt>
                <c:pt idx="4">
                  <c:v>4571.9998536960047</c:v>
                </c:pt>
                <c:pt idx="5">
                  <c:v>6705.5997854208072</c:v>
                </c:pt>
                <c:pt idx="6">
                  <c:v>8534.399726899208</c:v>
                </c:pt>
                <c:pt idx="7">
                  <c:v>4150</c:v>
                </c:pt>
              </c:numCache>
            </c:numRef>
          </c:xVal>
          <c:yVal>
            <c:numRef>
              <c:f>Hoja4!$D$26:$D$33</c:f>
              <c:numCache>
                <c:formatCode>General</c:formatCode>
                <c:ptCount val="8"/>
                <c:pt idx="0">
                  <c:v>101.05555555555556</c:v>
                </c:pt>
                <c:pt idx="1">
                  <c:v>100</c:v>
                </c:pt>
                <c:pt idx="2">
                  <c:v>96.777777777777771</c:v>
                </c:pt>
                <c:pt idx="3">
                  <c:v>91.222222222222214</c:v>
                </c:pt>
                <c:pt idx="4">
                  <c:v>84.666666666666671</c:v>
                </c:pt>
                <c:pt idx="5">
                  <c:v>78.111111111111114</c:v>
                </c:pt>
                <c:pt idx="6">
                  <c:v>72.833333333333329</c:v>
                </c:pt>
                <c:pt idx="7" formatCode="0.000">
                  <c:v>85.836364963059182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8-49B4-BC7B-D7D728161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64032"/>
        <c:axId val="1982064992"/>
      </c:scatterChart>
      <c:valAx>
        <c:axId val="19820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82064992"/>
        <c:crosses val="autoZero"/>
        <c:crossBetween val="midCat"/>
      </c:valAx>
      <c:valAx>
        <c:axId val="19820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820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718038</xdr:colOff>
      <xdr:row>2</xdr:row>
      <xdr:rowOff>95250</xdr:rowOff>
    </xdr:from>
    <xdr:to>
      <xdr:col>4</xdr:col>
      <xdr:colOff>394462</xdr:colOff>
      <xdr:row>15</xdr:row>
      <xdr:rowOff>47964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E6BC7F-0840-3DBA-1411-90D7FD9C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0038" y="476250"/>
          <a:ext cx="1962424" cy="2429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216476</xdr:colOff>
      <xdr:row>5</xdr:row>
      <xdr:rowOff>38099</xdr:rowOff>
    </xdr:from>
    <xdr:to>
      <xdr:col>16</xdr:col>
      <xdr:colOff>152400</xdr:colOff>
      <xdr:row>17</xdr:row>
      <xdr:rowOff>124690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136B99-0FFE-08BB-A703-090670FC0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285749</xdr:colOff>
      <xdr:row>22</xdr:row>
      <xdr:rowOff>114299</xdr:rowOff>
    </xdr:from>
    <xdr:to>
      <xdr:col>16</xdr:col>
      <xdr:colOff>152400</xdr:colOff>
      <xdr:row>35</xdr:row>
      <xdr:rowOff>20780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2CD7470-B00C-64EB-DB4F-5961176BE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181938</xdr:colOff>
      <xdr:row>17</xdr:row>
      <xdr:rowOff>53508</xdr:rowOff>
    </xdr:from>
    <xdr:to>
      <xdr:col>4</xdr:col>
      <xdr:colOff>642134</xdr:colOff>
      <xdr:row>17</xdr:row>
      <xdr:rowOff>160533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0C20B317-9DC2-B1AE-65EB-BC0F1CD0B4DC}"/>
            </a:ext>
          </a:extLst>
        </xdr:cNvPr>
        <xdr:cNvSpPr/>
      </xdr:nvSpPr>
      <xdr:spPr>
        <a:xfrm>
          <a:off x="3306994" y="3328396"/>
          <a:ext cx="460196" cy="107025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4</xdr:col>
      <xdr:colOff>214042</xdr:colOff>
      <xdr:row>32</xdr:row>
      <xdr:rowOff>42810</xdr:rowOff>
    </xdr:from>
    <xdr:to>
      <xdr:col>4</xdr:col>
      <xdr:colOff>674238</xdr:colOff>
      <xdr:row>32</xdr:row>
      <xdr:rowOff>149835</xdr:rowOff>
    </xdr:to>
    <xdr:sp macro="" textlink="">
      <xdr:nvSpPr>
        <xdr:cNvPr id="8" name="Flecha: hacia la izquierda 7">
          <a:extLst>
            <a:ext uri="{FF2B5EF4-FFF2-40B4-BE49-F238E27FC236}">
              <a16:creationId xmlns:a16="http://schemas.microsoft.com/office/drawing/2014/main" id="{1311AC00-8629-41B2-B122-21167ECB4C37}"/>
            </a:ext>
          </a:extLst>
        </xdr:cNvPr>
        <xdr:cNvSpPr/>
      </xdr:nvSpPr>
      <xdr:spPr>
        <a:xfrm>
          <a:off x="3339098" y="6207304"/>
          <a:ext cx="460196" cy="107025"/>
        </a:xfrm>
        <a:prstGeom prst="lef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13</xdr:col>
      <xdr:colOff>499482</xdr:colOff>
      <xdr:row>6</xdr:row>
      <xdr:rowOff>151006</xdr:rowOff>
    </xdr:from>
    <xdr:to>
      <xdr:col>17</xdr:col>
      <xdr:colOff>116159</xdr:colOff>
      <xdr:row>9</xdr:row>
      <xdr:rowOff>104543</xdr:rowOff>
    </xdr:to>
    <xdr:cxnSp macro="">
      <xdr:nvCxnSpPr>
        <xdr:cNvPr id="11" name="Conector: curvado 10">
          <a:extLst>
            <a:ext uri="{FF2B5EF4-FFF2-40B4-BE49-F238E27FC236}">
              <a16:creationId xmlns:a16="http://schemas.microsoft.com/office/drawing/2014/main" id="{2AD69E86-72FC-9EE7-3D77-68229321B9A9}"/>
            </a:ext>
          </a:extLst>
        </xdr:cNvPr>
        <xdr:cNvCxnSpPr/>
      </xdr:nvCxnSpPr>
      <xdr:spPr>
        <a:xfrm flipV="1">
          <a:off x="10814360" y="1266128"/>
          <a:ext cx="2683262" cy="511098"/>
        </a:xfrm>
        <a:prstGeom prst="curvedConnector3">
          <a:avLst>
            <a:gd name="adj1" fmla="val 649"/>
          </a:avLst>
        </a:prstGeom>
        <a:ln w="38100"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615640</xdr:colOff>
      <xdr:row>23</xdr:row>
      <xdr:rowOff>104543</xdr:rowOff>
    </xdr:from>
    <xdr:to>
      <xdr:col>16</xdr:col>
      <xdr:colOff>755031</xdr:colOff>
      <xdr:row>27</xdr:row>
      <xdr:rowOff>69695</xdr:rowOff>
    </xdr:to>
    <xdr:cxnSp macro="">
      <xdr:nvCxnSpPr>
        <xdr:cNvPr id="13" name="Conector: curvado 12">
          <a:extLst>
            <a:ext uri="{FF2B5EF4-FFF2-40B4-BE49-F238E27FC236}">
              <a16:creationId xmlns:a16="http://schemas.microsoft.com/office/drawing/2014/main" id="{0C7F801A-1F0A-49DD-A056-83EE75B94BB8}"/>
            </a:ext>
          </a:extLst>
        </xdr:cNvPr>
        <xdr:cNvCxnSpPr/>
      </xdr:nvCxnSpPr>
      <xdr:spPr>
        <a:xfrm flipV="1">
          <a:off x="10930518" y="4379177"/>
          <a:ext cx="2439330" cy="708567"/>
        </a:xfrm>
        <a:prstGeom prst="curvedConnector3">
          <a:avLst>
            <a:gd name="adj1" fmla="val -1905"/>
          </a:avLst>
        </a:prstGeom>
        <a:ln w="38100"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52A1-7288-43A3-9527-D92DD4F5672B}">
  <dimension ref="A2:H27"/>
  <sheetViews>
    <sheetView topLeftCell="A24" zoomScale="170" zoomScaleNormal="170" workbookViewId="0">
      <selection activeCell="B8" sqref="B8"/>
    </sheetView>
  </sheetViews>
  <sheetFormatPr baseColWidth="10" defaultRowHeight="15" x14ac:dyDescent="0.25"/>
  <cols>
    <col min="1" max="1" width="4.7109375" customWidth="1"/>
    <col min="4" max="4" width="26.140625" customWidth="1"/>
    <col min="5" max="5" width="34.5703125" customWidth="1"/>
  </cols>
  <sheetData>
    <row r="2" spans="1:6" ht="24.75" x14ac:dyDescent="0.25">
      <c r="C2" s="4" t="s">
        <v>24</v>
      </c>
      <c r="D2" s="4" t="s">
        <v>25</v>
      </c>
      <c r="E2" s="4" t="s">
        <v>26</v>
      </c>
      <c r="F2" s="4"/>
    </row>
    <row r="3" spans="1:6" x14ac:dyDescent="0.25">
      <c r="A3" s="3" t="s">
        <v>9</v>
      </c>
      <c r="B3" s="3" t="s">
        <v>0</v>
      </c>
      <c r="C3" s="3" t="s">
        <v>1</v>
      </c>
      <c r="D3" s="3"/>
      <c r="E3" s="3"/>
      <c r="F3" s="3"/>
    </row>
    <row r="4" spans="1:6" x14ac:dyDescent="0.25">
      <c r="A4" s="1">
        <v>0</v>
      </c>
      <c r="B4" s="1" t="s">
        <v>2</v>
      </c>
      <c r="C4" s="6" t="s">
        <v>5</v>
      </c>
      <c r="D4" s="7" t="s">
        <v>27</v>
      </c>
      <c r="E4" s="8" t="s">
        <v>29</v>
      </c>
    </row>
    <row r="5" spans="1:6" x14ac:dyDescent="0.25">
      <c r="A5" s="1">
        <v>1</v>
      </c>
      <c r="B5" s="1" t="s">
        <v>3</v>
      </c>
      <c r="C5" s="1" t="s">
        <v>6</v>
      </c>
      <c r="D5" s="5" t="s">
        <v>28</v>
      </c>
    </row>
    <row r="6" spans="1:6" x14ac:dyDescent="0.25">
      <c r="A6" s="1">
        <v>2</v>
      </c>
      <c r="B6" s="1" t="s">
        <v>4</v>
      </c>
      <c r="C6" s="1" t="s">
        <v>7</v>
      </c>
    </row>
    <row r="8" spans="1:6" x14ac:dyDescent="0.25">
      <c r="B8" t="s">
        <v>8</v>
      </c>
      <c r="F8" t="s">
        <v>10</v>
      </c>
    </row>
    <row r="11" spans="1:6" x14ac:dyDescent="0.25">
      <c r="B11" t="s">
        <v>11</v>
      </c>
    </row>
    <row r="13" spans="1:6" x14ac:dyDescent="0.25">
      <c r="B13" t="s">
        <v>12</v>
      </c>
    </row>
    <row r="14" spans="1:6" x14ac:dyDescent="0.25">
      <c r="B14" t="s">
        <v>14</v>
      </c>
      <c r="F14" t="s">
        <v>13</v>
      </c>
    </row>
    <row r="16" spans="1:6" x14ac:dyDescent="0.25">
      <c r="B16" t="s">
        <v>15</v>
      </c>
    </row>
    <row r="17" spans="1:8" x14ac:dyDescent="0.25">
      <c r="A17" t="s">
        <v>17</v>
      </c>
      <c r="B17" t="s">
        <v>16</v>
      </c>
    </row>
    <row r="19" spans="1:8" x14ac:dyDescent="0.25">
      <c r="B19" t="s">
        <v>18</v>
      </c>
    </row>
    <row r="21" spans="1:8" x14ac:dyDescent="0.25">
      <c r="B21" t="s">
        <v>19</v>
      </c>
    </row>
    <row r="23" spans="1:8" x14ac:dyDescent="0.25">
      <c r="B23" t="s">
        <v>20</v>
      </c>
    </row>
    <row r="25" spans="1:8" x14ac:dyDescent="0.25">
      <c r="B25" t="s">
        <v>21</v>
      </c>
      <c r="E25" t="s">
        <v>22</v>
      </c>
      <c r="H25" t="s">
        <v>23</v>
      </c>
    </row>
    <row r="27" spans="1:8" x14ac:dyDescent="0.25">
      <c r="B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A4E6-4E82-45E2-9F2B-D624C6477E5F}">
  <dimension ref="A2:F13"/>
  <sheetViews>
    <sheetView topLeftCell="A4" zoomScale="150" zoomScaleNormal="150" workbookViewId="0">
      <selection activeCell="C13" sqref="C13"/>
    </sheetView>
  </sheetViews>
  <sheetFormatPr baseColWidth="10" defaultRowHeight="15" x14ac:dyDescent="0.25"/>
  <sheetData>
    <row r="2" spans="1:6" x14ac:dyDescent="0.25">
      <c r="E2" t="s">
        <v>32</v>
      </c>
    </row>
    <row r="4" spans="1:6" x14ac:dyDescent="0.25">
      <c r="A4" t="s">
        <v>9</v>
      </c>
      <c r="B4" s="3" t="s">
        <v>0</v>
      </c>
      <c r="C4" s="3" t="s">
        <v>1</v>
      </c>
      <c r="D4" s="3" t="s">
        <v>31</v>
      </c>
      <c r="E4" s="3" t="s">
        <v>33</v>
      </c>
      <c r="F4" s="3" t="s">
        <v>34</v>
      </c>
    </row>
    <row r="5" spans="1:6" x14ac:dyDescent="0.25">
      <c r="A5">
        <v>0</v>
      </c>
      <c r="B5" s="1">
        <v>2</v>
      </c>
      <c r="C5" s="1">
        <v>4.5</v>
      </c>
      <c r="D5" s="1">
        <f>+(C6-C5)/(B6-B5)</f>
        <v>1.3999999999999997</v>
      </c>
      <c r="E5" s="1">
        <f>+(D6-D5)/(B7-B5)</f>
        <v>-0.13888888888888878</v>
      </c>
      <c r="F5" s="1">
        <f>+(E6-E5)/(B8-B5)</f>
        <v>3.4444444444444423E-2</v>
      </c>
    </row>
    <row r="6" spans="1:6" x14ac:dyDescent="0.25">
      <c r="A6">
        <v>1</v>
      </c>
      <c r="B6" s="1">
        <v>5</v>
      </c>
      <c r="C6" s="1">
        <v>8.6999999999999993</v>
      </c>
      <c r="D6" s="1">
        <f>+(C7-C6)/(B7-B6)</f>
        <v>0.56666666666666698</v>
      </c>
      <c r="E6" s="1">
        <f>+(D7-D6)/(B8-B6)</f>
        <v>0.1366666666666666</v>
      </c>
    </row>
    <row r="7" spans="1:6" x14ac:dyDescent="0.25">
      <c r="A7">
        <v>2</v>
      </c>
      <c r="B7" s="1">
        <v>8</v>
      </c>
      <c r="C7" s="1">
        <v>10.4</v>
      </c>
      <c r="D7" s="1">
        <f>+(C8-C7)/(B8-B7)</f>
        <v>1.25</v>
      </c>
    </row>
    <row r="8" spans="1:6" x14ac:dyDescent="0.25">
      <c r="A8">
        <v>3</v>
      </c>
      <c r="B8" s="1">
        <v>10</v>
      </c>
      <c r="C8" s="1">
        <v>12.9</v>
      </c>
    </row>
    <row r="9" spans="1:6" x14ac:dyDescent="0.25">
      <c r="B9">
        <v>6</v>
      </c>
      <c r="C9" t="s">
        <v>37</v>
      </c>
    </row>
    <row r="11" spans="1:6" x14ac:dyDescent="0.25">
      <c r="B11" t="s">
        <v>35</v>
      </c>
      <c r="C11" t="s">
        <v>36</v>
      </c>
    </row>
    <row r="13" spans="1:6" x14ac:dyDescent="0.25">
      <c r="B13" t="s">
        <v>38</v>
      </c>
      <c r="C13">
        <f>+C5+D5*(B9-B5)+ E5*(B9-B5)*(B9-B6) +F5*(B9-B5)*(B9-B6)*(B9-B7)</f>
        <v>9.2688888888888865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9483-2CA7-4D2C-8D2C-8376EAE14188}">
  <dimension ref="F4:J22"/>
  <sheetViews>
    <sheetView topLeftCell="A5" zoomScaleNormal="100" workbookViewId="0">
      <selection activeCell="H12" sqref="H12"/>
    </sheetView>
  </sheetViews>
  <sheetFormatPr baseColWidth="10" defaultRowHeight="15" x14ac:dyDescent="0.25"/>
  <sheetData>
    <row r="4" spans="6:10" x14ac:dyDescent="0.25">
      <c r="G4" s="9" t="s">
        <v>0</v>
      </c>
      <c r="H4" s="9" t="s">
        <v>1</v>
      </c>
      <c r="I4" s="9" t="s">
        <v>31</v>
      </c>
      <c r="J4" s="9" t="s">
        <v>39</v>
      </c>
    </row>
    <row r="5" spans="6:10" x14ac:dyDescent="0.25">
      <c r="F5">
        <v>0</v>
      </c>
      <c r="G5" s="2">
        <v>1.8</v>
      </c>
      <c r="H5" s="2">
        <v>10.889365</v>
      </c>
      <c r="I5">
        <f>+(H6-H5)/(G6-G5)</f>
        <v>18.138340000000024</v>
      </c>
      <c r="J5">
        <f>+(I6-I5)/(G7-G5)</f>
        <v>13.63483333333318</v>
      </c>
    </row>
    <row r="6" spans="6:10" x14ac:dyDescent="0.25">
      <c r="F6">
        <v>1</v>
      </c>
      <c r="G6" s="2">
        <v>1.9</v>
      </c>
      <c r="H6" s="2">
        <v>12.703199</v>
      </c>
      <c r="I6">
        <f>+(H7-H6)/(G7-G6)</f>
        <v>22.228789999999979</v>
      </c>
    </row>
    <row r="7" spans="6:10" x14ac:dyDescent="0.25">
      <c r="F7">
        <v>2</v>
      </c>
      <c r="G7" s="2">
        <v>2.1</v>
      </c>
      <c r="H7" s="2">
        <v>17.148956999999999</v>
      </c>
    </row>
    <row r="8" spans="6:10" x14ac:dyDescent="0.25">
      <c r="G8">
        <v>2</v>
      </c>
      <c r="H8" t="s">
        <v>37</v>
      </c>
    </row>
    <row r="10" spans="6:10" x14ac:dyDescent="0.25">
      <c r="G10" t="s">
        <v>8</v>
      </c>
    </row>
    <row r="12" spans="6:10" x14ac:dyDescent="0.25">
      <c r="G12" s="10" t="s">
        <v>40</v>
      </c>
      <c r="H12" s="10">
        <f>+H5+I5*(G8-G5)+J5*(G8-G5)*(G8-G6)</f>
        <v>14.789729666666666</v>
      </c>
    </row>
    <row r="16" spans="6:10" x14ac:dyDescent="0.25">
      <c r="G16" s="9" t="s">
        <v>0</v>
      </c>
      <c r="H16" s="9" t="s">
        <v>1</v>
      </c>
    </row>
    <row r="17" spans="6:8" x14ac:dyDescent="0.25">
      <c r="F17">
        <v>0</v>
      </c>
      <c r="G17" s="2">
        <v>1.8</v>
      </c>
      <c r="H17" s="2">
        <v>10.889365</v>
      </c>
    </row>
    <row r="18" spans="6:8" x14ac:dyDescent="0.25">
      <c r="F18">
        <v>1</v>
      </c>
      <c r="G18" s="2">
        <v>1.9</v>
      </c>
      <c r="H18" s="2">
        <v>12.703199</v>
      </c>
    </row>
    <row r="19" spans="6:8" x14ac:dyDescent="0.25">
      <c r="F19">
        <v>2</v>
      </c>
      <c r="G19" s="2">
        <v>2</v>
      </c>
      <c r="H19" s="2">
        <v>14.778112</v>
      </c>
    </row>
    <row r="20" spans="6:8" x14ac:dyDescent="0.25">
      <c r="F20">
        <v>3</v>
      </c>
      <c r="G20" s="2">
        <v>2.2000000000000002</v>
      </c>
      <c r="H20" s="2">
        <v>19.855029999999999</v>
      </c>
    </row>
    <row r="22" spans="6:8" x14ac:dyDescent="0.25">
      <c r="G22" s="11">
        <v>2.1</v>
      </c>
      <c r="H22" t="s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3AF7-6DEF-4A32-8915-B156631378C2}">
  <dimension ref="A1:R37"/>
  <sheetViews>
    <sheetView tabSelected="1" topLeftCell="J1" zoomScale="82" zoomScaleNormal="82" workbookViewId="0">
      <selection activeCell="S17" sqref="S17"/>
    </sheetView>
  </sheetViews>
  <sheetFormatPr baseColWidth="10" defaultRowHeight="15" x14ac:dyDescent="0.25"/>
  <cols>
    <col min="4" max="4" width="12.7109375" customWidth="1"/>
    <col min="6" max="6" width="12.7109375" bestFit="1" customWidth="1"/>
    <col min="7" max="8" width="12" bestFit="1" customWidth="1"/>
    <col min="9" max="9" width="12.7109375" bestFit="1" customWidth="1"/>
    <col min="10" max="10" width="12" bestFit="1" customWidth="1"/>
  </cols>
  <sheetData>
    <row r="1" spans="1:18" x14ac:dyDescent="0.25">
      <c r="C1" t="s">
        <v>51</v>
      </c>
      <c r="D1" t="s">
        <v>50</v>
      </c>
      <c r="E1" t="s">
        <v>48</v>
      </c>
      <c r="F1" t="s">
        <v>49</v>
      </c>
    </row>
    <row r="2" spans="1:18" x14ac:dyDescent="0.25">
      <c r="C2" s="12">
        <v>-1000</v>
      </c>
      <c r="D2" s="13">
        <v>213.9</v>
      </c>
      <c r="E2" s="14">
        <f>(D2-32)*(5/9)</f>
        <v>101.05555555555556</v>
      </c>
      <c r="F2" s="12">
        <f>C2/3.28084</f>
        <v>-304.79999024640034</v>
      </c>
    </row>
    <row r="3" spans="1:18" x14ac:dyDescent="0.25">
      <c r="C3" s="12">
        <v>0</v>
      </c>
      <c r="D3" s="13">
        <v>212</v>
      </c>
      <c r="E3" s="14">
        <f t="shared" ref="E3:E8" si="0">(D3-32)*(5/9)</f>
        <v>100</v>
      </c>
      <c r="F3" s="12">
        <f t="shared" ref="F3:F8" si="1">C3/3.28084</f>
        <v>0</v>
      </c>
    </row>
    <row r="4" spans="1:18" x14ac:dyDescent="0.25">
      <c r="C4" s="12">
        <v>3000</v>
      </c>
      <c r="D4" s="13">
        <v>206.2</v>
      </c>
      <c r="E4" s="14">
        <f t="shared" si="0"/>
        <v>96.777777777777771</v>
      </c>
      <c r="F4" s="12">
        <f t="shared" si="1"/>
        <v>914.39997073920097</v>
      </c>
    </row>
    <row r="5" spans="1:18" x14ac:dyDescent="0.25">
      <c r="C5" s="12">
        <v>8000</v>
      </c>
      <c r="D5" s="13">
        <v>196.2</v>
      </c>
      <c r="E5" s="14">
        <f t="shared" si="0"/>
        <v>91.222222222222214</v>
      </c>
      <c r="F5" s="12">
        <f t="shared" si="1"/>
        <v>2438.3999219712027</v>
      </c>
    </row>
    <row r="6" spans="1:18" x14ac:dyDescent="0.25">
      <c r="C6" s="12">
        <v>15000</v>
      </c>
      <c r="D6" s="13">
        <v>184.4</v>
      </c>
      <c r="E6" s="14">
        <f t="shared" si="0"/>
        <v>84.666666666666671</v>
      </c>
      <c r="F6" s="12">
        <f t="shared" si="1"/>
        <v>4571.9998536960047</v>
      </c>
    </row>
    <row r="7" spans="1:18" x14ac:dyDescent="0.25">
      <c r="C7" s="12">
        <v>22000</v>
      </c>
      <c r="D7" s="13">
        <v>172.6</v>
      </c>
      <c r="E7" s="14">
        <f t="shared" si="0"/>
        <v>78.111111111111114</v>
      </c>
      <c r="F7" s="12">
        <f t="shared" si="1"/>
        <v>6705.5997854208072</v>
      </c>
      <c r="R7" t="s">
        <v>58</v>
      </c>
    </row>
    <row r="8" spans="1:18" x14ac:dyDescent="0.25">
      <c r="C8" s="12">
        <v>28000</v>
      </c>
      <c r="D8" s="13">
        <v>163.1</v>
      </c>
      <c r="E8" s="14">
        <f t="shared" si="0"/>
        <v>72.833333333333329</v>
      </c>
      <c r="F8" s="12">
        <f t="shared" si="1"/>
        <v>8534.399726899208</v>
      </c>
    </row>
    <row r="9" spans="1:18" x14ac:dyDescent="0.25">
      <c r="C9" s="12"/>
    </row>
    <row r="10" spans="1:18" x14ac:dyDescent="0.25">
      <c r="A10" s="24" t="s">
        <v>51</v>
      </c>
      <c r="B10" s="24" t="s">
        <v>50</v>
      </c>
      <c r="C10" s="19" t="s">
        <v>49</v>
      </c>
      <c r="D10" s="19" t="s">
        <v>48</v>
      </c>
      <c r="E10" s="19" t="s">
        <v>41</v>
      </c>
      <c r="F10" s="19" t="s">
        <v>42</v>
      </c>
      <c r="G10" s="19" t="s">
        <v>43</v>
      </c>
      <c r="H10" s="19" t="s">
        <v>44</v>
      </c>
      <c r="I10" s="19" t="s">
        <v>45</v>
      </c>
      <c r="J10" s="19" t="s">
        <v>46</v>
      </c>
    </row>
    <row r="11" spans="1:18" x14ac:dyDescent="0.25">
      <c r="A11" s="22">
        <v>-1000</v>
      </c>
      <c r="B11" s="23">
        <v>213.9</v>
      </c>
      <c r="C11" s="16">
        <f>C2/3.28084</f>
        <v>-304.79999024640034</v>
      </c>
      <c r="D11" s="16">
        <f>(D2-32)*(5/9)</f>
        <v>101.05555555555556</v>
      </c>
      <c r="E11" s="17">
        <f>+(D12-D11)/(C12-C11)</f>
        <v>-3.4631088888888938E-3</v>
      </c>
      <c r="F11" s="15">
        <f>+(E12-E11)/(C13-C11)</f>
        <v>-4.9832921785186722E-8</v>
      </c>
      <c r="G11" s="15">
        <f>+(F12-F11)/(C14-C11)</f>
        <v>1.5559390847760591E-24</v>
      </c>
      <c r="H11" s="15">
        <f>+(G12-G11)/(C15-C11)</f>
        <v>9.2592363491743167E-15</v>
      </c>
      <c r="I11" s="15">
        <f>+(H12-H11)/(C16-C11)</f>
        <v>-2.8566541519549232E-18</v>
      </c>
      <c r="J11" s="15">
        <f>+(I12-I11)/(C17-C11)</f>
        <v>5.2639532730460394E-22</v>
      </c>
    </row>
    <row r="12" spans="1:18" x14ac:dyDescent="0.25">
      <c r="A12" s="22">
        <v>0</v>
      </c>
      <c r="B12" s="23">
        <v>212</v>
      </c>
      <c r="C12" s="16">
        <f t="shared" ref="C12:C16" si="2">C3/3.28084</f>
        <v>0</v>
      </c>
      <c r="D12" s="16">
        <f t="shared" ref="D12:D17" si="3">(D3-32)*(5/9)</f>
        <v>100</v>
      </c>
      <c r="E12" s="17">
        <f>+(D13-D12)/(C13-C12)</f>
        <v>-3.523865185185192E-3</v>
      </c>
      <c r="F12" s="15">
        <f t="shared" ref="F12:F15" si="4">+(E13-E12)/(C14-C12)</f>
        <v>-4.9832921785182454E-8</v>
      </c>
      <c r="G12" s="15">
        <f>+(F13-F12)/(C15-C12)</f>
        <v>4.5155442382680714E-11</v>
      </c>
      <c r="H12" s="15">
        <f t="shared" ref="H12:H13" si="5">+(G13-G12)/(C16-C12)</f>
        <v>-1.0767051276849272E-14</v>
      </c>
      <c r="I12" s="15">
        <f>+(H13-H12)/(C17-C12)</f>
        <v>1.7962592762627015E-18</v>
      </c>
      <c r="J12" s="1"/>
    </row>
    <row r="13" spans="1:18" x14ac:dyDescent="0.25">
      <c r="A13" s="22">
        <v>3000</v>
      </c>
      <c r="B13" s="23">
        <v>206.2</v>
      </c>
      <c r="C13" s="16">
        <f t="shared" si="2"/>
        <v>914.39997073920097</v>
      </c>
      <c r="D13" s="16">
        <f t="shared" si="3"/>
        <v>96.777777777777771</v>
      </c>
      <c r="E13" s="17">
        <f t="shared" ref="E13:E16" si="6">+(D14-D13)/(C14-C13)</f>
        <v>-3.6453777777777779E-3</v>
      </c>
      <c r="F13" s="15">
        <f t="shared" si="4"/>
        <v>1.5661775418201212E-7</v>
      </c>
      <c r="G13" s="15">
        <f>+(F14-F13)/(C16-C13)</f>
        <v>-2.7044094348974598E-11</v>
      </c>
      <c r="H13" s="15">
        <f t="shared" si="5"/>
        <v>4.5629433999272963E-15</v>
      </c>
      <c r="I13" s="20"/>
      <c r="J13" s="1"/>
    </row>
    <row r="14" spans="1:18" x14ac:dyDescent="0.25">
      <c r="A14" s="22">
        <v>8000</v>
      </c>
      <c r="B14" s="23">
        <v>196.2</v>
      </c>
      <c r="C14" s="16">
        <f t="shared" si="2"/>
        <v>2438.3999219712027</v>
      </c>
      <c r="D14" s="16">
        <f t="shared" si="3"/>
        <v>91.222222222222214</v>
      </c>
      <c r="E14" s="17">
        <f t="shared" si="6"/>
        <v>-3.0725326984126929E-3</v>
      </c>
      <c r="F14" s="15">
        <f t="shared" si="4"/>
        <v>-1.4228375422309368E-21</v>
      </c>
      <c r="G14" s="15">
        <f>+(F15-F14)/(C17-C14)</f>
        <v>7.7255332458433112E-12</v>
      </c>
      <c r="H14" s="20"/>
      <c r="I14" s="20"/>
      <c r="J14" s="1"/>
    </row>
    <row r="15" spans="1:18" x14ac:dyDescent="0.25">
      <c r="A15" s="22">
        <v>15000</v>
      </c>
      <c r="B15" s="23">
        <v>184.4</v>
      </c>
      <c r="C15" s="16">
        <f t="shared" si="2"/>
        <v>4571.9998536960047</v>
      </c>
      <c r="D15" s="16">
        <f t="shared" si="3"/>
        <v>84.666666666666671</v>
      </c>
      <c r="E15" s="17">
        <f t="shared" si="6"/>
        <v>-3.072532698412699E-3</v>
      </c>
      <c r="F15" s="15">
        <f t="shared" si="4"/>
        <v>4.709484915962422E-8</v>
      </c>
      <c r="G15" s="20"/>
      <c r="H15" s="20"/>
      <c r="I15" s="20"/>
      <c r="J15" s="1"/>
    </row>
    <row r="16" spans="1:18" x14ac:dyDescent="0.25">
      <c r="A16" s="22">
        <v>22000</v>
      </c>
      <c r="B16" s="23">
        <v>172.6</v>
      </c>
      <c r="C16" s="16">
        <f t="shared" si="2"/>
        <v>6705.5997854208072</v>
      </c>
      <c r="D16" s="16">
        <f t="shared" si="3"/>
        <v>78.111111111111114</v>
      </c>
      <c r="E16" s="17">
        <f t="shared" si="6"/>
        <v>-2.88592407407408E-3</v>
      </c>
      <c r="F16" s="20"/>
      <c r="G16" s="20"/>
      <c r="H16" s="20"/>
      <c r="I16" s="20"/>
      <c r="J16" s="1"/>
    </row>
    <row r="17" spans="1:18" x14ac:dyDescent="0.25">
      <c r="A17" s="22">
        <v>28000</v>
      </c>
      <c r="B17" s="23">
        <v>163.1</v>
      </c>
      <c r="C17" s="16">
        <f>C8/3.28084</f>
        <v>8534.399726899208</v>
      </c>
      <c r="D17" s="16">
        <f t="shared" si="3"/>
        <v>72.833333333333329</v>
      </c>
      <c r="E17" s="20"/>
      <c r="F17" s="20"/>
      <c r="G17" s="20"/>
      <c r="H17" s="20"/>
      <c r="I17" s="20"/>
      <c r="J17" s="1"/>
    </row>
    <row r="18" spans="1:18" x14ac:dyDescent="0.25">
      <c r="A18" s="25"/>
      <c r="B18" t="s">
        <v>37</v>
      </c>
      <c r="C18" s="18">
        <v>3640</v>
      </c>
      <c r="D18" s="29">
        <f>+D11+E11*(C18-C11)+F11*(C18-C11)*(C18-C12)+G11*(C18-C11)*(C18-C12)*(C18-C13)+H11*(C18-C11)*(C18-C12)*(C18-C13)*(C18-C14)+I11*(C18-C11)*(C18-C12)*(C18-C13)*(C18-C14)*(C18-C15)+J11*(C18-C11)*(C18-C12)*(C18-C13)*(C18-C14)*(C18-C15)*(C18-C16)</f>
        <v>87.310097561099553</v>
      </c>
      <c r="E18" s="30" t="s">
        <v>57</v>
      </c>
      <c r="F18" s="31"/>
      <c r="G18" s="31"/>
      <c r="H18" s="31"/>
      <c r="I18" s="31"/>
      <c r="J18" s="32"/>
    </row>
    <row r="20" spans="1:18" x14ac:dyDescent="0.25">
      <c r="C20" t="s">
        <v>47</v>
      </c>
      <c r="D20">
        <f>+D11+E11*(C18-C11)+F11*(C18-C11)*(C18-C12)+G11*(C18-C11)*(C18-C12)*(C18-C13)+H11*(C18-C11)*(C18-C12)*(C18-C13)*(C18-C14)+I11*(C18-C11)*(C18-C12)*(C18-C13)*(C18-C14)*(C18-C15)+J11*(C18-C11)*(C18-C12)*(C18-C13)*(C18-C14)*(C18-C15)*(C18-C16)</f>
        <v>87.310097561099553</v>
      </c>
    </row>
    <row r="21" spans="1:18" x14ac:dyDescent="0.25">
      <c r="C21" t="s">
        <v>52</v>
      </c>
      <c r="D21">
        <f>+J11*(C18-C11)*(C18-C12)*(C18-C13)*(C18-C14)*(C18-C15)*(C18-C17)/FACT(6)</f>
        <v>1.5683509590105706E-4</v>
      </c>
    </row>
    <row r="24" spans="1:18" x14ac:dyDescent="0.25">
      <c r="R24" t="s">
        <v>59</v>
      </c>
    </row>
    <row r="25" spans="1:18" x14ac:dyDescent="0.25">
      <c r="A25" s="24" t="s">
        <v>51</v>
      </c>
      <c r="B25" s="24" t="s">
        <v>50</v>
      </c>
      <c r="C25" s="27" t="s">
        <v>49</v>
      </c>
      <c r="D25" s="27" t="s">
        <v>48</v>
      </c>
      <c r="E25" s="21" t="s">
        <v>31</v>
      </c>
      <c r="F25" s="21" t="s">
        <v>53</v>
      </c>
      <c r="G25" s="21" t="s">
        <v>43</v>
      </c>
      <c r="H25" s="21" t="s">
        <v>44</v>
      </c>
      <c r="I25" s="21" t="s">
        <v>45</v>
      </c>
      <c r="J25" s="21" t="s">
        <v>46</v>
      </c>
    </row>
    <row r="26" spans="1:18" x14ac:dyDescent="0.25">
      <c r="A26" s="22">
        <v>-1000</v>
      </c>
      <c r="B26" s="26">
        <v>213.9</v>
      </c>
      <c r="C26" s="15">
        <f>+A26/3.28084</f>
        <v>-304.79999024640034</v>
      </c>
      <c r="D26" s="15">
        <f>(B26-32)*(5/9)</f>
        <v>101.05555555555556</v>
      </c>
      <c r="E26" s="15">
        <f>+(D27-D26)/(C27-C26)</f>
        <v>-3.4631088888888938E-3</v>
      </c>
      <c r="F26" s="15">
        <f>+(E27-E26)/(C28-C26)</f>
        <v>-4.9832921785186722E-8</v>
      </c>
      <c r="G26" s="15">
        <f>+(F27-F26)/(C29-C26)</f>
        <v>1.5559390847760591E-24</v>
      </c>
      <c r="H26" s="15">
        <f>+(G27-G26)/(C30-C26)</f>
        <v>9.2592363491743167E-15</v>
      </c>
      <c r="I26" s="15">
        <f>+(H27-H26)/(C31-C26)</f>
        <v>-2.8566541519549232E-18</v>
      </c>
      <c r="J26" s="15">
        <f>+(I27-I26)/(C32-C26)</f>
        <v>5.2639532730460394E-22</v>
      </c>
    </row>
    <row r="27" spans="1:18" x14ac:dyDescent="0.25">
      <c r="A27" s="22">
        <v>0</v>
      </c>
      <c r="B27" s="26">
        <v>212</v>
      </c>
      <c r="C27" s="15">
        <f t="shared" ref="C27:C32" si="7">+A27/3.28084</f>
        <v>0</v>
      </c>
      <c r="D27" s="15">
        <f t="shared" ref="D27:D31" si="8">(B27-32)*(5/9)</f>
        <v>100</v>
      </c>
      <c r="E27" s="15">
        <f t="shared" ref="E27:E31" si="9">+(D28-D27)/(C28-C27)</f>
        <v>-3.523865185185192E-3</v>
      </c>
      <c r="F27" s="15">
        <f t="shared" ref="F27:F30" si="10">+(E28-E27)/(C29-C27)</f>
        <v>-4.9832921785182454E-8</v>
      </c>
      <c r="G27" s="15">
        <f t="shared" ref="G27:G29" si="11">+(F28-F27)/(C30-C27)</f>
        <v>4.5155442382680714E-11</v>
      </c>
      <c r="H27" s="15">
        <f t="shared" ref="H27:H28" si="12">+(G28-G27)/(C31-C27)</f>
        <v>-1.0767051276849272E-14</v>
      </c>
      <c r="I27" s="15">
        <f>+(H28-H27)/(C32-C27)</f>
        <v>1.7962592762627015E-18</v>
      </c>
      <c r="J27" s="20"/>
    </row>
    <row r="28" spans="1:18" x14ac:dyDescent="0.25">
      <c r="A28" s="22">
        <v>3000</v>
      </c>
      <c r="B28" s="26">
        <v>206.2</v>
      </c>
      <c r="C28" s="15">
        <f t="shared" si="7"/>
        <v>914.39997073920097</v>
      </c>
      <c r="D28" s="15">
        <f t="shared" si="8"/>
        <v>96.777777777777771</v>
      </c>
      <c r="E28" s="15">
        <f t="shared" si="9"/>
        <v>-3.6453777777777779E-3</v>
      </c>
      <c r="F28" s="15">
        <f t="shared" si="10"/>
        <v>1.5661775418201212E-7</v>
      </c>
      <c r="G28" s="15">
        <f t="shared" si="11"/>
        <v>-2.7044094348974598E-11</v>
      </c>
      <c r="H28" s="15">
        <f t="shared" si="12"/>
        <v>4.5629433999272963E-15</v>
      </c>
      <c r="I28" s="20"/>
      <c r="J28" s="20"/>
    </row>
    <row r="29" spans="1:18" x14ac:dyDescent="0.25">
      <c r="A29" s="22">
        <v>8000</v>
      </c>
      <c r="B29" s="26">
        <v>196.2</v>
      </c>
      <c r="C29" s="15">
        <f t="shared" si="7"/>
        <v>2438.3999219712027</v>
      </c>
      <c r="D29" s="15">
        <f t="shared" si="8"/>
        <v>91.222222222222214</v>
      </c>
      <c r="E29" s="15">
        <f t="shared" si="9"/>
        <v>-3.0725326984126929E-3</v>
      </c>
      <c r="F29" s="15">
        <f t="shared" si="10"/>
        <v>-1.4228375422309368E-21</v>
      </c>
      <c r="G29" s="15">
        <f t="shared" si="11"/>
        <v>7.7255332458433112E-12</v>
      </c>
      <c r="H29" s="20"/>
      <c r="I29" s="20"/>
      <c r="J29" s="20"/>
    </row>
    <row r="30" spans="1:18" x14ac:dyDescent="0.25">
      <c r="A30" s="22">
        <v>15000</v>
      </c>
      <c r="B30" s="26">
        <v>184.4</v>
      </c>
      <c r="C30" s="15">
        <f t="shared" si="7"/>
        <v>4571.9998536960047</v>
      </c>
      <c r="D30" s="15">
        <f t="shared" si="8"/>
        <v>84.666666666666671</v>
      </c>
      <c r="E30" s="15">
        <f t="shared" si="9"/>
        <v>-3.072532698412699E-3</v>
      </c>
      <c r="F30" s="15">
        <f t="shared" si="10"/>
        <v>4.709484915962422E-8</v>
      </c>
      <c r="G30" s="20"/>
      <c r="H30" s="20"/>
      <c r="I30" s="20"/>
      <c r="J30" s="20"/>
    </row>
    <row r="31" spans="1:18" x14ac:dyDescent="0.25">
      <c r="A31" s="22">
        <v>22000</v>
      </c>
      <c r="B31" s="26">
        <v>172.6</v>
      </c>
      <c r="C31" s="15">
        <f t="shared" si="7"/>
        <v>6705.5997854208072</v>
      </c>
      <c r="D31" s="15">
        <f t="shared" si="8"/>
        <v>78.111111111111114</v>
      </c>
      <c r="E31" s="15">
        <f t="shared" si="9"/>
        <v>-2.88592407407408E-3</v>
      </c>
      <c r="F31" s="20"/>
      <c r="G31" s="20"/>
      <c r="H31" s="20"/>
      <c r="I31" s="20"/>
      <c r="J31" s="20"/>
    </row>
    <row r="32" spans="1:18" x14ac:dyDescent="0.25">
      <c r="A32" s="22">
        <v>28000</v>
      </c>
      <c r="B32" s="26">
        <v>163.1</v>
      </c>
      <c r="C32" s="15">
        <f t="shared" si="7"/>
        <v>8534.399726899208</v>
      </c>
      <c r="D32" s="15">
        <f>(B32-32)*(5/9)</f>
        <v>72.833333333333329</v>
      </c>
      <c r="E32" s="20"/>
      <c r="F32" s="20"/>
      <c r="G32" s="20"/>
      <c r="H32" s="20"/>
      <c r="I32" s="20"/>
      <c r="J32" s="20"/>
    </row>
    <row r="33" spans="1:10" x14ac:dyDescent="0.25">
      <c r="A33" s="25"/>
      <c r="B33" t="s">
        <v>37</v>
      </c>
      <c r="C33" s="15">
        <v>4150</v>
      </c>
      <c r="D33" s="28">
        <f>+D26+E26*(C33-C26)+F26*(C33-C26)*(C33-C27)+G26*(C33-C26)*(C33-C27)*(C33-C28)+H26*(C33-C26)*(C33-C27)*(C33-C28)*(C33-C29)+I26*(C33-C26)*(C33-C27)*(C33-C28)*(C33-C29)*(C33-C30)+J26*(C33-C26)*(C33-C27)*(C33-C28)*(C33-C29)*(C33-C30)*(C33-C31)</f>
        <v>85.836364963059182</v>
      </c>
      <c r="E33" s="33" t="s">
        <v>56</v>
      </c>
      <c r="F33" s="34"/>
      <c r="G33" s="34"/>
      <c r="H33" s="34"/>
      <c r="I33" s="34"/>
      <c r="J33" s="35"/>
    </row>
    <row r="36" spans="1:10" x14ac:dyDescent="0.25">
      <c r="C36" t="s">
        <v>54</v>
      </c>
      <c r="D36">
        <f>+D26+E26*(C33-C26)+F26*(C33-C26)*(C33-C27)+G26*(C33-C26)*(C33-C27)*(C33-C28)+H26*(C33-C26)*(C33-C27)*(C33-C28)*(C33-C29)+I26*(C33-C26)*(C33-C27)*(C33-C28)*(C33-C29)*(C33-C30)+J26*(C33-C26)*(C33-C27)*(C33-C28)*(C33-C29)*(C33-C30)*(C33-C31)</f>
        <v>85.836364963059182</v>
      </c>
    </row>
    <row r="37" spans="1:10" x14ac:dyDescent="0.25">
      <c r="C37" t="s">
        <v>55</v>
      </c>
      <c r="D37">
        <f>+J26*(C33-C26)*(C33-C27)*(C33-C28)*(C33-C29)*(C33-C30)*(C33-C32)/FACT(6)</f>
        <v>1.3849541835854259E-4</v>
      </c>
    </row>
  </sheetData>
  <mergeCells count="2">
    <mergeCell ref="E18:J18"/>
    <mergeCell ref="E33:J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brigida carvajal</dc:creator>
  <cp:lastModifiedBy>gabriela quispe mamani</cp:lastModifiedBy>
  <dcterms:created xsi:type="dcterms:W3CDTF">2024-10-08T14:27:40Z</dcterms:created>
  <dcterms:modified xsi:type="dcterms:W3CDTF">2024-10-10T18:09:11Z</dcterms:modified>
</cp:coreProperties>
</file>